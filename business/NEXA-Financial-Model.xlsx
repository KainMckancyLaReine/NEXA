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€#,##0"/>
    <numFmt numFmtId="166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0A0F2C"/>
      <sz val="16"/>
    </font>
    <font>
      <name val="Calibri"/>
      <color rgb="00374151"/>
      <sz val="10"/>
    </font>
    <font>
      <name val="Calibri"/>
      <b val="1"/>
      <color rgb="000A0F2C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C3AED"/>
      <sz val="12"/>
    </font>
    <font>
      <name val="Calibri"/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2" borderId="0" applyAlignment="1" pivotButton="0" quotePrefix="0" xfId="0">
      <alignment horizontal="center" wrapText="1"/>
    </xf>
    <xf numFmtId="166" fontId="5" fillId="0" borderId="0" pivotButton="0" quotePrefix="0" xfId="0"/>
    <xf numFmtId="165" fontId="5" fillId="0" borderId="0" pivotButton="0" quotePrefix="0" xfId="0"/>
    <xf numFmtId="0" fontId="4" fillId="2" borderId="0" applyAlignment="1" pivotButton="0" quotePrefix="0" xfId="0">
      <alignment horizontal="center"/>
    </xf>
    <xf numFmtId="3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 (36 months)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'Model'!$A$2:$A$37</f>
            </numRef>
          </cat>
          <val>
            <numRef>
              <f>'Model'!$F$2:$F$37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NEXA — Financial Model (assumptions)</t>
        </is>
      </c>
    </row>
    <row r="3">
      <c r="A3" s="2" t="inlineStr">
        <is>
          <t>Starting active customers</t>
        </is>
      </c>
      <c r="B3" s="3" t="n">
        <v>2</v>
      </c>
    </row>
    <row r="4">
      <c r="A4" s="2" t="inlineStr">
        <is>
          <t>New customers in month 1</t>
        </is>
      </c>
      <c r="B4" s="3" t="n">
        <v>3</v>
      </c>
    </row>
    <row r="5">
      <c r="A5" s="2" t="inlineStr">
        <is>
          <t>Monthly growth in new customers</t>
        </is>
      </c>
      <c r="B5" s="4" t="n">
        <v>0.08</v>
      </c>
    </row>
    <row r="6">
      <c r="A6" s="2" t="inlineStr">
        <is>
          <t>Monthly logo churn</t>
        </is>
      </c>
      <c r="B6" s="4" t="n">
        <v>0.03</v>
      </c>
    </row>
    <row r="7">
      <c r="A7" s="2" t="inlineStr">
        <is>
          <t>Blended ARPA (€/customer/month)</t>
        </is>
      </c>
      <c r="B7" s="5" t="n">
        <v>1200</v>
      </c>
    </row>
    <row r="8">
      <c r="A8" s="2" t="inlineStr">
        <is>
          <t>Gross margin</t>
        </is>
      </c>
      <c r="B8" s="4" t="n">
        <v>0.8</v>
      </c>
    </row>
    <row r="9">
      <c r="A9" s="2" t="inlineStr">
        <is>
          <t>Sales &amp; marketing (€/mo, m1)</t>
        </is>
      </c>
      <c r="B9" s="5" t="n">
        <v>12000</v>
      </c>
    </row>
    <row r="10">
      <c r="A10" s="2" t="inlineStr">
        <is>
          <t>R&amp;D (€/mo, m1)</t>
        </is>
      </c>
      <c r="B10" s="5" t="n">
        <v>18000</v>
      </c>
    </row>
    <row r="11">
      <c r="A11" s="2" t="inlineStr">
        <is>
          <t>G&amp;A (€/mo, m1)</t>
        </is>
      </c>
      <c r="B11" s="5" t="n">
        <v>6000</v>
      </c>
    </row>
    <row r="12">
      <c r="A12" s="2" t="inlineStr">
        <is>
          <t>Monthly opex growth</t>
        </is>
      </c>
      <c r="B12" s="4" t="n">
        <v>0.04</v>
      </c>
    </row>
    <row r="13">
      <c r="A13" s="2" t="inlineStr">
        <is>
          <t>CAC (€/customer)</t>
        </is>
      </c>
      <c r="B13" s="5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6" t="inlineStr">
        <is>
          <t>Month</t>
        </is>
      </c>
      <c r="B1" s="6" t="inlineStr">
        <is>
          <t>New customers</t>
        </is>
      </c>
      <c r="C1" s="6" t="inlineStr">
        <is>
          <t>Churned</t>
        </is>
      </c>
      <c r="D1" s="6" t="inlineStr">
        <is>
          <t>Active customers</t>
        </is>
      </c>
      <c r="E1" s="6" t="inlineStr">
        <is>
          <t>MRR</t>
        </is>
      </c>
      <c r="F1" s="6" t="inlineStr">
        <is>
          <t>ARR</t>
        </is>
      </c>
      <c r="G1" s="6" t="inlineStr">
        <is>
          <t>COGS</t>
        </is>
      </c>
      <c r="H1" s="6" t="inlineStr">
        <is>
          <t>Gross profit</t>
        </is>
      </c>
      <c r="I1" s="6" t="inlineStr">
        <is>
          <t>S&amp;M</t>
        </is>
      </c>
      <c r="J1" s="6" t="inlineStr">
        <is>
          <t>R&amp;D</t>
        </is>
      </c>
      <c r="K1" s="6" t="inlineStr">
        <is>
          <t>G&amp;A</t>
        </is>
      </c>
      <c r="L1" s="6" t="inlineStr">
        <is>
          <t>EBITDA</t>
        </is>
      </c>
      <c r="M1" s="6" t="inlineStr">
        <is>
          <t>Cumulative cash</t>
        </is>
      </c>
    </row>
    <row r="2">
      <c r="A2" t="n">
        <v>1</v>
      </c>
      <c r="B2" s="7">
        <f>Assumptions!$B$4</f>
        <v/>
      </c>
      <c r="C2" s="7" t="n">
        <v>0</v>
      </c>
      <c r="D2" s="7">
        <f>Assumptions!$B$3+B2-C2</f>
        <v/>
      </c>
      <c r="E2" s="8">
        <f>D2*Assumptions!$B$7</f>
        <v/>
      </c>
      <c r="F2" s="8">
        <f>E2*12</f>
        <v/>
      </c>
      <c r="G2" s="8">
        <f>E2*(1-Assumptions!$B$8)</f>
        <v/>
      </c>
      <c r="H2" s="8">
        <f>E2-G2</f>
        <v/>
      </c>
      <c r="I2" s="8">
        <f>Assumptions!$B$9*(1+Assumptions!$B$12)^0</f>
        <v/>
      </c>
      <c r="J2" s="8">
        <f>Assumptions!$B$10*(1+Assumptions!$B$12)^0</f>
        <v/>
      </c>
      <c r="K2" s="8">
        <f>Assumptions!$B$11*(1+Assumptions!$B$12)^0</f>
        <v/>
      </c>
      <c r="L2" s="8">
        <f>H2-I2-J2-K2</f>
        <v/>
      </c>
      <c r="M2" s="8">
        <f>L2</f>
        <v/>
      </c>
    </row>
    <row r="3">
      <c r="A3" t="n">
        <v>2</v>
      </c>
      <c r="B3" s="7">
        <f>B2*(1+Assumptions!$B$5)</f>
        <v/>
      </c>
      <c r="C3" s="7">
        <f>D2*Assumptions!$B$6</f>
        <v/>
      </c>
      <c r="D3" s="7">
        <f>D2+B3-C3</f>
        <v/>
      </c>
      <c r="E3" s="8">
        <f>D3*Assumptions!$B$7</f>
        <v/>
      </c>
      <c r="F3" s="8">
        <f>E3*12</f>
        <v/>
      </c>
      <c r="G3" s="8">
        <f>E3*(1-Assumptions!$B$8)</f>
        <v/>
      </c>
      <c r="H3" s="8">
        <f>E3-G3</f>
        <v/>
      </c>
      <c r="I3" s="8">
        <f>Assumptions!$B$9*(1+Assumptions!$B$12)^1</f>
        <v/>
      </c>
      <c r="J3" s="8">
        <f>Assumptions!$B$10*(1+Assumptions!$B$12)^1</f>
        <v/>
      </c>
      <c r="K3" s="8">
        <f>Assumptions!$B$11*(1+Assumptions!$B$12)^1</f>
        <v/>
      </c>
      <c r="L3" s="8">
        <f>H3-I3-J3-K3</f>
        <v/>
      </c>
      <c r="M3" s="8">
        <f>M2+L3</f>
        <v/>
      </c>
    </row>
    <row r="4">
      <c r="A4" t="n">
        <v>3</v>
      </c>
      <c r="B4" s="7">
        <f>B3*(1+Assumptions!$B$5)</f>
        <v/>
      </c>
      <c r="C4" s="7">
        <f>D3*Assumptions!$B$6</f>
        <v/>
      </c>
      <c r="D4" s="7">
        <f>D3+B4-C4</f>
        <v/>
      </c>
      <c r="E4" s="8">
        <f>D4*Assumptions!$B$7</f>
        <v/>
      </c>
      <c r="F4" s="8">
        <f>E4*12</f>
        <v/>
      </c>
      <c r="G4" s="8">
        <f>E4*(1-Assumptions!$B$8)</f>
        <v/>
      </c>
      <c r="H4" s="8">
        <f>E4-G4</f>
        <v/>
      </c>
      <c r="I4" s="8">
        <f>Assumptions!$B$9*(1+Assumptions!$B$12)^2</f>
        <v/>
      </c>
      <c r="J4" s="8">
        <f>Assumptions!$B$10*(1+Assumptions!$B$12)^2</f>
        <v/>
      </c>
      <c r="K4" s="8">
        <f>Assumptions!$B$11*(1+Assumptions!$B$12)^2</f>
        <v/>
      </c>
      <c r="L4" s="8">
        <f>H4-I4-J4-K4</f>
        <v/>
      </c>
      <c r="M4" s="8">
        <f>M3+L4</f>
        <v/>
      </c>
    </row>
    <row r="5">
      <c r="A5" t="n">
        <v>4</v>
      </c>
      <c r="B5" s="7">
        <f>B4*(1+Assumptions!$B$5)</f>
        <v/>
      </c>
      <c r="C5" s="7">
        <f>D4*Assumptions!$B$6</f>
        <v/>
      </c>
      <c r="D5" s="7">
        <f>D4+B5-C5</f>
        <v/>
      </c>
      <c r="E5" s="8">
        <f>D5*Assumptions!$B$7</f>
        <v/>
      </c>
      <c r="F5" s="8">
        <f>E5*12</f>
        <v/>
      </c>
      <c r="G5" s="8">
        <f>E5*(1-Assumptions!$B$8)</f>
        <v/>
      </c>
      <c r="H5" s="8">
        <f>E5-G5</f>
        <v/>
      </c>
      <c r="I5" s="8">
        <f>Assumptions!$B$9*(1+Assumptions!$B$12)^3</f>
        <v/>
      </c>
      <c r="J5" s="8">
        <f>Assumptions!$B$10*(1+Assumptions!$B$12)^3</f>
        <v/>
      </c>
      <c r="K5" s="8">
        <f>Assumptions!$B$11*(1+Assumptions!$B$12)^3</f>
        <v/>
      </c>
      <c r="L5" s="8">
        <f>H5-I5-J5-K5</f>
        <v/>
      </c>
      <c r="M5" s="8">
        <f>M4+L5</f>
        <v/>
      </c>
    </row>
    <row r="6">
      <c r="A6" t="n">
        <v>5</v>
      </c>
      <c r="B6" s="7">
        <f>B5*(1+Assumptions!$B$5)</f>
        <v/>
      </c>
      <c r="C6" s="7">
        <f>D5*Assumptions!$B$6</f>
        <v/>
      </c>
      <c r="D6" s="7">
        <f>D5+B6-C6</f>
        <v/>
      </c>
      <c r="E6" s="8">
        <f>D6*Assumptions!$B$7</f>
        <v/>
      </c>
      <c r="F6" s="8">
        <f>E6*12</f>
        <v/>
      </c>
      <c r="G6" s="8">
        <f>E6*(1-Assumptions!$B$8)</f>
        <v/>
      </c>
      <c r="H6" s="8">
        <f>E6-G6</f>
        <v/>
      </c>
      <c r="I6" s="8">
        <f>Assumptions!$B$9*(1+Assumptions!$B$12)^4</f>
        <v/>
      </c>
      <c r="J6" s="8">
        <f>Assumptions!$B$10*(1+Assumptions!$B$12)^4</f>
        <v/>
      </c>
      <c r="K6" s="8">
        <f>Assumptions!$B$11*(1+Assumptions!$B$12)^4</f>
        <v/>
      </c>
      <c r="L6" s="8">
        <f>H6-I6-J6-K6</f>
        <v/>
      </c>
      <c r="M6" s="8">
        <f>M5+L6</f>
        <v/>
      </c>
    </row>
    <row r="7">
      <c r="A7" t="n">
        <v>6</v>
      </c>
      <c r="B7" s="7">
        <f>B6*(1+Assumptions!$B$5)</f>
        <v/>
      </c>
      <c r="C7" s="7">
        <f>D6*Assumptions!$B$6</f>
        <v/>
      </c>
      <c r="D7" s="7">
        <f>D6+B7-C7</f>
        <v/>
      </c>
      <c r="E7" s="8">
        <f>D7*Assumptions!$B$7</f>
        <v/>
      </c>
      <c r="F7" s="8">
        <f>E7*12</f>
        <v/>
      </c>
      <c r="G7" s="8">
        <f>E7*(1-Assumptions!$B$8)</f>
        <v/>
      </c>
      <c r="H7" s="8">
        <f>E7-G7</f>
        <v/>
      </c>
      <c r="I7" s="8">
        <f>Assumptions!$B$9*(1+Assumptions!$B$12)^5</f>
        <v/>
      </c>
      <c r="J7" s="8">
        <f>Assumptions!$B$10*(1+Assumptions!$B$12)^5</f>
        <v/>
      </c>
      <c r="K7" s="8">
        <f>Assumptions!$B$11*(1+Assumptions!$B$12)^5</f>
        <v/>
      </c>
      <c r="L7" s="8">
        <f>H7-I7-J7-K7</f>
        <v/>
      </c>
      <c r="M7" s="8">
        <f>M6+L7</f>
        <v/>
      </c>
    </row>
    <row r="8">
      <c r="A8" t="n">
        <v>7</v>
      </c>
      <c r="B8" s="7">
        <f>B7*(1+Assumptions!$B$5)</f>
        <v/>
      </c>
      <c r="C8" s="7">
        <f>D7*Assumptions!$B$6</f>
        <v/>
      </c>
      <c r="D8" s="7">
        <f>D7+B8-C8</f>
        <v/>
      </c>
      <c r="E8" s="8">
        <f>D8*Assumptions!$B$7</f>
        <v/>
      </c>
      <c r="F8" s="8">
        <f>E8*12</f>
        <v/>
      </c>
      <c r="G8" s="8">
        <f>E8*(1-Assumptions!$B$8)</f>
        <v/>
      </c>
      <c r="H8" s="8">
        <f>E8-G8</f>
        <v/>
      </c>
      <c r="I8" s="8">
        <f>Assumptions!$B$9*(1+Assumptions!$B$12)^6</f>
        <v/>
      </c>
      <c r="J8" s="8">
        <f>Assumptions!$B$10*(1+Assumptions!$B$12)^6</f>
        <v/>
      </c>
      <c r="K8" s="8">
        <f>Assumptions!$B$11*(1+Assumptions!$B$12)^6</f>
        <v/>
      </c>
      <c r="L8" s="8">
        <f>H8-I8-J8-K8</f>
        <v/>
      </c>
      <c r="M8" s="8">
        <f>M7+L8</f>
        <v/>
      </c>
    </row>
    <row r="9">
      <c r="A9" t="n">
        <v>8</v>
      </c>
      <c r="B9" s="7">
        <f>B8*(1+Assumptions!$B$5)</f>
        <v/>
      </c>
      <c r="C9" s="7">
        <f>D8*Assumptions!$B$6</f>
        <v/>
      </c>
      <c r="D9" s="7">
        <f>D8+B9-C9</f>
        <v/>
      </c>
      <c r="E9" s="8">
        <f>D9*Assumptions!$B$7</f>
        <v/>
      </c>
      <c r="F9" s="8">
        <f>E9*12</f>
        <v/>
      </c>
      <c r="G9" s="8">
        <f>E9*(1-Assumptions!$B$8)</f>
        <v/>
      </c>
      <c r="H9" s="8">
        <f>E9-G9</f>
        <v/>
      </c>
      <c r="I9" s="8">
        <f>Assumptions!$B$9*(1+Assumptions!$B$12)^7</f>
        <v/>
      </c>
      <c r="J9" s="8">
        <f>Assumptions!$B$10*(1+Assumptions!$B$12)^7</f>
        <v/>
      </c>
      <c r="K9" s="8">
        <f>Assumptions!$B$11*(1+Assumptions!$B$12)^7</f>
        <v/>
      </c>
      <c r="L9" s="8">
        <f>H9-I9-J9-K9</f>
        <v/>
      </c>
      <c r="M9" s="8">
        <f>M8+L9</f>
        <v/>
      </c>
    </row>
    <row r="10">
      <c r="A10" t="n">
        <v>9</v>
      </c>
      <c r="B10" s="7">
        <f>B9*(1+Assumptions!$B$5)</f>
        <v/>
      </c>
      <c r="C10" s="7">
        <f>D9*Assumptions!$B$6</f>
        <v/>
      </c>
      <c r="D10" s="7">
        <f>D9+B10-C10</f>
        <v/>
      </c>
      <c r="E10" s="8">
        <f>D10*Assumptions!$B$7</f>
        <v/>
      </c>
      <c r="F10" s="8">
        <f>E10*12</f>
        <v/>
      </c>
      <c r="G10" s="8">
        <f>E10*(1-Assumptions!$B$8)</f>
        <v/>
      </c>
      <c r="H10" s="8">
        <f>E10-G10</f>
        <v/>
      </c>
      <c r="I10" s="8">
        <f>Assumptions!$B$9*(1+Assumptions!$B$12)^8</f>
        <v/>
      </c>
      <c r="J10" s="8">
        <f>Assumptions!$B$10*(1+Assumptions!$B$12)^8</f>
        <v/>
      </c>
      <c r="K10" s="8">
        <f>Assumptions!$B$11*(1+Assumptions!$B$12)^8</f>
        <v/>
      </c>
      <c r="L10" s="8">
        <f>H10-I10-J10-K10</f>
        <v/>
      </c>
      <c r="M10" s="8">
        <f>M9+L10</f>
        <v/>
      </c>
    </row>
    <row r="11">
      <c r="A11" t="n">
        <v>10</v>
      </c>
      <c r="B11" s="7">
        <f>B10*(1+Assumptions!$B$5)</f>
        <v/>
      </c>
      <c r="C11" s="7">
        <f>D10*Assumptions!$B$6</f>
        <v/>
      </c>
      <c r="D11" s="7">
        <f>D10+B11-C11</f>
        <v/>
      </c>
      <c r="E11" s="8">
        <f>D11*Assumptions!$B$7</f>
        <v/>
      </c>
      <c r="F11" s="8">
        <f>E11*12</f>
        <v/>
      </c>
      <c r="G11" s="8">
        <f>E11*(1-Assumptions!$B$8)</f>
        <v/>
      </c>
      <c r="H11" s="8">
        <f>E11-G11</f>
        <v/>
      </c>
      <c r="I11" s="8">
        <f>Assumptions!$B$9*(1+Assumptions!$B$12)^9</f>
        <v/>
      </c>
      <c r="J11" s="8">
        <f>Assumptions!$B$10*(1+Assumptions!$B$12)^9</f>
        <v/>
      </c>
      <c r="K11" s="8">
        <f>Assumptions!$B$11*(1+Assumptions!$B$12)^9</f>
        <v/>
      </c>
      <c r="L11" s="8">
        <f>H11-I11-J11-K11</f>
        <v/>
      </c>
      <c r="M11" s="8">
        <f>M10+L11</f>
        <v/>
      </c>
    </row>
    <row r="12">
      <c r="A12" t="n">
        <v>11</v>
      </c>
      <c r="B12" s="7">
        <f>B11*(1+Assumptions!$B$5)</f>
        <v/>
      </c>
      <c r="C12" s="7">
        <f>D11*Assumptions!$B$6</f>
        <v/>
      </c>
      <c r="D12" s="7">
        <f>D11+B12-C12</f>
        <v/>
      </c>
      <c r="E12" s="8">
        <f>D12*Assumptions!$B$7</f>
        <v/>
      </c>
      <c r="F12" s="8">
        <f>E12*12</f>
        <v/>
      </c>
      <c r="G12" s="8">
        <f>E12*(1-Assumptions!$B$8)</f>
        <v/>
      </c>
      <c r="H12" s="8">
        <f>E12-G12</f>
        <v/>
      </c>
      <c r="I12" s="8">
        <f>Assumptions!$B$9*(1+Assumptions!$B$12)^10</f>
        <v/>
      </c>
      <c r="J12" s="8">
        <f>Assumptions!$B$10*(1+Assumptions!$B$12)^10</f>
        <v/>
      </c>
      <c r="K12" s="8">
        <f>Assumptions!$B$11*(1+Assumptions!$B$12)^10</f>
        <v/>
      </c>
      <c r="L12" s="8">
        <f>H12-I12-J12-K12</f>
        <v/>
      </c>
      <c r="M12" s="8">
        <f>M11+L12</f>
        <v/>
      </c>
    </row>
    <row r="13">
      <c r="A13" t="n">
        <v>12</v>
      </c>
      <c r="B13" s="7">
        <f>B12*(1+Assumptions!$B$5)</f>
        <v/>
      </c>
      <c r="C13" s="7">
        <f>D12*Assumptions!$B$6</f>
        <v/>
      </c>
      <c r="D13" s="7">
        <f>D12+B13-C13</f>
        <v/>
      </c>
      <c r="E13" s="8">
        <f>D13*Assumptions!$B$7</f>
        <v/>
      </c>
      <c r="F13" s="8">
        <f>E13*12</f>
        <v/>
      </c>
      <c r="G13" s="8">
        <f>E13*(1-Assumptions!$B$8)</f>
        <v/>
      </c>
      <c r="H13" s="8">
        <f>E13-G13</f>
        <v/>
      </c>
      <c r="I13" s="8">
        <f>Assumptions!$B$9*(1+Assumptions!$B$12)^11</f>
        <v/>
      </c>
      <c r="J13" s="8">
        <f>Assumptions!$B$10*(1+Assumptions!$B$12)^11</f>
        <v/>
      </c>
      <c r="K13" s="8">
        <f>Assumptions!$B$11*(1+Assumptions!$B$12)^11</f>
        <v/>
      </c>
      <c r="L13" s="8">
        <f>H13-I13-J13-K13</f>
        <v/>
      </c>
      <c r="M13" s="8">
        <f>M12+L13</f>
        <v/>
      </c>
    </row>
    <row r="14">
      <c r="A14" t="n">
        <v>13</v>
      </c>
      <c r="B14" s="7">
        <f>B13*(1+Assumptions!$B$5)</f>
        <v/>
      </c>
      <c r="C14" s="7">
        <f>D13*Assumptions!$B$6</f>
        <v/>
      </c>
      <c r="D14" s="7">
        <f>D13+B14-C14</f>
        <v/>
      </c>
      <c r="E14" s="8">
        <f>D14*Assumptions!$B$7</f>
        <v/>
      </c>
      <c r="F14" s="8">
        <f>E14*12</f>
        <v/>
      </c>
      <c r="G14" s="8">
        <f>E14*(1-Assumptions!$B$8)</f>
        <v/>
      </c>
      <c r="H14" s="8">
        <f>E14-G14</f>
        <v/>
      </c>
      <c r="I14" s="8">
        <f>Assumptions!$B$9*(1+Assumptions!$B$12)^12</f>
        <v/>
      </c>
      <c r="J14" s="8">
        <f>Assumptions!$B$10*(1+Assumptions!$B$12)^12</f>
        <v/>
      </c>
      <c r="K14" s="8">
        <f>Assumptions!$B$11*(1+Assumptions!$B$12)^12</f>
        <v/>
      </c>
      <c r="L14" s="8">
        <f>H14-I14-J14-K14</f>
        <v/>
      </c>
      <c r="M14" s="8">
        <f>M13+L14</f>
        <v/>
      </c>
    </row>
    <row r="15">
      <c r="A15" t="n">
        <v>14</v>
      </c>
      <c r="B15" s="7">
        <f>B14*(1+Assumptions!$B$5)</f>
        <v/>
      </c>
      <c r="C15" s="7">
        <f>D14*Assumptions!$B$6</f>
        <v/>
      </c>
      <c r="D15" s="7">
        <f>D14+B15-C15</f>
        <v/>
      </c>
      <c r="E15" s="8">
        <f>D15*Assumptions!$B$7</f>
        <v/>
      </c>
      <c r="F15" s="8">
        <f>E15*12</f>
        <v/>
      </c>
      <c r="G15" s="8">
        <f>E15*(1-Assumptions!$B$8)</f>
        <v/>
      </c>
      <c r="H15" s="8">
        <f>E15-G15</f>
        <v/>
      </c>
      <c r="I15" s="8">
        <f>Assumptions!$B$9*(1+Assumptions!$B$12)^13</f>
        <v/>
      </c>
      <c r="J15" s="8">
        <f>Assumptions!$B$10*(1+Assumptions!$B$12)^13</f>
        <v/>
      </c>
      <c r="K15" s="8">
        <f>Assumptions!$B$11*(1+Assumptions!$B$12)^13</f>
        <v/>
      </c>
      <c r="L15" s="8">
        <f>H15-I15-J15-K15</f>
        <v/>
      </c>
      <c r="M15" s="8">
        <f>M14+L15</f>
        <v/>
      </c>
    </row>
    <row r="16">
      <c r="A16" t="n">
        <v>15</v>
      </c>
      <c r="B16" s="7">
        <f>B15*(1+Assumptions!$B$5)</f>
        <v/>
      </c>
      <c r="C16" s="7">
        <f>D15*Assumptions!$B$6</f>
        <v/>
      </c>
      <c r="D16" s="7">
        <f>D15+B16-C16</f>
        <v/>
      </c>
      <c r="E16" s="8">
        <f>D16*Assumptions!$B$7</f>
        <v/>
      </c>
      <c r="F16" s="8">
        <f>E16*12</f>
        <v/>
      </c>
      <c r="G16" s="8">
        <f>E16*(1-Assumptions!$B$8)</f>
        <v/>
      </c>
      <c r="H16" s="8">
        <f>E16-G16</f>
        <v/>
      </c>
      <c r="I16" s="8">
        <f>Assumptions!$B$9*(1+Assumptions!$B$12)^14</f>
        <v/>
      </c>
      <c r="J16" s="8">
        <f>Assumptions!$B$10*(1+Assumptions!$B$12)^14</f>
        <v/>
      </c>
      <c r="K16" s="8">
        <f>Assumptions!$B$11*(1+Assumptions!$B$12)^14</f>
        <v/>
      </c>
      <c r="L16" s="8">
        <f>H16-I16-J16-K16</f>
        <v/>
      </c>
      <c r="M16" s="8">
        <f>M15+L16</f>
        <v/>
      </c>
    </row>
    <row r="17">
      <c r="A17" t="n">
        <v>16</v>
      </c>
      <c r="B17" s="7">
        <f>B16*(1+Assumptions!$B$5)</f>
        <v/>
      </c>
      <c r="C17" s="7">
        <f>D16*Assumptions!$B$6</f>
        <v/>
      </c>
      <c r="D17" s="7">
        <f>D16+B17-C17</f>
        <v/>
      </c>
      <c r="E17" s="8">
        <f>D17*Assumptions!$B$7</f>
        <v/>
      </c>
      <c r="F17" s="8">
        <f>E17*12</f>
        <v/>
      </c>
      <c r="G17" s="8">
        <f>E17*(1-Assumptions!$B$8)</f>
        <v/>
      </c>
      <c r="H17" s="8">
        <f>E17-G17</f>
        <v/>
      </c>
      <c r="I17" s="8">
        <f>Assumptions!$B$9*(1+Assumptions!$B$12)^15</f>
        <v/>
      </c>
      <c r="J17" s="8">
        <f>Assumptions!$B$10*(1+Assumptions!$B$12)^15</f>
        <v/>
      </c>
      <c r="K17" s="8">
        <f>Assumptions!$B$11*(1+Assumptions!$B$12)^15</f>
        <v/>
      </c>
      <c r="L17" s="8">
        <f>H17-I17-J17-K17</f>
        <v/>
      </c>
      <c r="M17" s="8">
        <f>M16+L17</f>
        <v/>
      </c>
    </row>
    <row r="18">
      <c r="A18" t="n">
        <v>17</v>
      </c>
      <c r="B18" s="7">
        <f>B17*(1+Assumptions!$B$5)</f>
        <v/>
      </c>
      <c r="C18" s="7">
        <f>D17*Assumptions!$B$6</f>
        <v/>
      </c>
      <c r="D18" s="7">
        <f>D17+B18-C18</f>
        <v/>
      </c>
      <c r="E18" s="8">
        <f>D18*Assumptions!$B$7</f>
        <v/>
      </c>
      <c r="F18" s="8">
        <f>E18*12</f>
        <v/>
      </c>
      <c r="G18" s="8">
        <f>E18*(1-Assumptions!$B$8)</f>
        <v/>
      </c>
      <c r="H18" s="8">
        <f>E18-G18</f>
        <v/>
      </c>
      <c r="I18" s="8">
        <f>Assumptions!$B$9*(1+Assumptions!$B$12)^16</f>
        <v/>
      </c>
      <c r="J18" s="8">
        <f>Assumptions!$B$10*(1+Assumptions!$B$12)^16</f>
        <v/>
      </c>
      <c r="K18" s="8">
        <f>Assumptions!$B$11*(1+Assumptions!$B$12)^16</f>
        <v/>
      </c>
      <c r="L18" s="8">
        <f>H18-I18-J18-K18</f>
        <v/>
      </c>
      <c r="M18" s="8">
        <f>M17+L18</f>
        <v/>
      </c>
    </row>
    <row r="19">
      <c r="A19" t="n">
        <v>18</v>
      </c>
      <c r="B19" s="7">
        <f>B18*(1+Assumptions!$B$5)</f>
        <v/>
      </c>
      <c r="C19" s="7">
        <f>D18*Assumptions!$B$6</f>
        <v/>
      </c>
      <c r="D19" s="7">
        <f>D18+B19-C19</f>
        <v/>
      </c>
      <c r="E19" s="8">
        <f>D19*Assumptions!$B$7</f>
        <v/>
      </c>
      <c r="F19" s="8">
        <f>E19*12</f>
        <v/>
      </c>
      <c r="G19" s="8">
        <f>E19*(1-Assumptions!$B$8)</f>
        <v/>
      </c>
      <c r="H19" s="8">
        <f>E19-G19</f>
        <v/>
      </c>
      <c r="I19" s="8">
        <f>Assumptions!$B$9*(1+Assumptions!$B$12)^17</f>
        <v/>
      </c>
      <c r="J19" s="8">
        <f>Assumptions!$B$10*(1+Assumptions!$B$12)^17</f>
        <v/>
      </c>
      <c r="K19" s="8">
        <f>Assumptions!$B$11*(1+Assumptions!$B$12)^17</f>
        <v/>
      </c>
      <c r="L19" s="8">
        <f>H19-I19-J19-K19</f>
        <v/>
      </c>
      <c r="M19" s="8">
        <f>M18+L19</f>
        <v/>
      </c>
    </row>
    <row r="20">
      <c r="A20" t="n">
        <v>19</v>
      </c>
      <c r="B20" s="7">
        <f>B19*(1+Assumptions!$B$5)</f>
        <v/>
      </c>
      <c r="C20" s="7">
        <f>D19*Assumptions!$B$6</f>
        <v/>
      </c>
      <c r="D20" s="7">
        <f>D19+B20-C20</f>
        <v/>
      </c>
      <c r="E20" s="8">
        <f>D20*Assumptions!$B$7</f>
        <v/>
      </c>
      <c r="F20" s="8">
        <f>E20*12</f>
        <v/>
      </c>
      <c r="G20" s="8">
        <f>E20*(1-Assumptions!$B$8)</f>
        <v/>
      </c>
      <c r="H20" s="8">
        <f>E20-G20</f>
        <v/>
      </c>
      <c r="I20" s="8">
        <f>Assumptions!$B$9*(1+Assumptions!$B$12)^18</f>
        <v/>
      </c>
      <c r="J20" s="8">
        <f>Assumptions!$B$10*(1+Assumptions!$B$12)^18</f>
        <v/>
      </c>
      <c r="K20" s="8">
        <f>Assumptions!$B$11*(1+Assumptions!$B$12)^18</f>
        <v/>
      </c>
      <c r="L20" s="8">
        <f>H20-I20-J20-K20</f>
        <v/>
      </c>
      <c r="M20" s="8">
        <f>M19+L20</f>
        <v/>
      </c>
    </row>
    <row r="21">
      <c r="A21" t="n">
        <v>20</v>
      </c>
      <c r="B21" s="7">
        <f>B20*(1+Assumptions!$B$5)</f>
        <v/>
      </c>
      <c r="C21" s="7">
        <f>D20*Assumptions!$B$6</f>
        <v/>
      </c>
      <c r="D21" s="7">
        <f>D20+B21-C21</f>
        <v/>
      </c>
      <c r="E21" s="8">
        <f>D21*Assumptions!$B$7</f>
        <v/>
      </c>
      <c r="F21" s="8">
        <f>E21*12</f>
        <v/>
      </c>
      <c r="G21" s="8">
        <f>E21*(1-Assumptions!$B$8)</f>
        <v/>
      </c>
      <c r="H21" s="8">
        <f>E21-G21</f>
        <v/>
      </c>
      <c r="I21" s="8">
        <f>Assumptions!$B$9*(1+Assumptions!$B$12)^19</f>
        <v/>
      </c>
      <c r="J21" s="8">
        <f>Assumptions!$B$10*(1+Assumptions!$B$12)^19</f>
        <v/>
      </c>
      <c r="K21" s="8">
        <f>Assumptions!$B$11*(1+Assumptions!$B$12)^19</f>
        <v/>
      </c>
      <c r="L21" s="8">
        <f>H21-I21-J21-K21</f>
        <v/>
      </c>
      <c r="M21" s="8">
        <f>M20+L21</f>
        <v/>
      </c>
    </row>
    <row r="22">
      <c r="A22" t="n">
        <v>21</v>
      </c>
      <c r="B22" s="7">
        <f>B21*(1+Assumptions!$B$5)</f>
        <v/>
      </c>
      <c r="C22" s="7">
        <f>D21*Assumptions!$B$6</f>
        <v/>
      </c>
      <c r="D22" s="7">
        <f>D21+B22-C22</f>
        <v/>
      </c>
      <c r="E22" s="8">
        <f>D22*Assumptions!$B$7</f>
        <v/>
      </c>
      <c r="F22" s="8">
        <f>E22*12</f>
        <v/>
      </c>
      <c r="G22" s="8">
        <f>E22*(1-Assumptions!$B$8)</f>
        <v/>
      </c>
      <c r="H22" s="8">
        <f>E22-G22</f>
        <v/>
      </c>
      <c r="I22" s="8">
        <f>Assumptions!$B$9*(1+Assumptions!$B$12)^20</f>
        <v/>
      </c>
      <c r="J22" s="8">
        <f>Assumptions!$B$10*(1+Assumptions!$B$12)^20</f>
        <v/>
      </c>
      <c r="K22" s="8">
        <f>Assumptions!$B$11*(1+Assumptions!$B$12)^20</f>
        <v/>
      </c>
      <c r="L22" s="8">
        <f>H22-I22-J22-K22</f>
        <v/>
      </c>
      <c r="M22" s="8">
        <f>M21+L22</f>
        <v/>
      </c>
    </row>
    <row r="23">
      <c r="A23" t="n">
        <v>22</v>
      </c>
      <c r="B23" s="7">
        <f>B22*(1+Assumptions!$B$5)</f>
        <v/>
      </c>
      <c r="C23" s="7">
        <f>D22*Assumptions!$B$6</f>
        <v/>
      </c>
      <c r="D23" s="7">
        <f>D22+B23-C23</f>
        <v/>
      </c>
      <c r="E23" s="8">
        <f>D23*Assumptions!$B$7</f>
        <v/>
      </c>
      <c r="F23" s="8">
        <f>E23*12</f>
        <v/>
      </c>
      <c r="G23" s="8">
        <f>E23*(1-Assumptions!$B$8)</f>
        <v/>
      </c>
      <c r="H23" s="8">
        <f>E23-G23</f>
        <v/>
      </c>
      <c r="I23" s="8">
        <f>Assumptions!$B$9*(1+Assumptions!$B$12)^21</f>
        <v/>
      </c>
      <c r="J23" s="8">
        <f>Assumptions!$B$10*(1+Assumptions!$B$12)^21</f>
        <v/>
      </c>
      <c r="K23" s="8">
        <f>Assumptions!$B$11*(1+Assumptions!$B$12)^21</f>
        <v/>
      </c>
      <c r="L23" s="8">
        <f>H23-I23-J23-K23</f>
        <v/>
      </c>
      <c r="M23" s="8">
        <f>M22+L23</f>
        <v/>
      </c>
    </row>
    <row r="24">
      <c r="A24" t="n">
        <v>23</v>
      </c>
      <c r="B24" s="7">
        <f>B23*(1+Assumptions!$B$5)</f>
        <v/>
      </c>
      <c r="C24" s="7">
        <f>D23*Assumptions!$B$6</f>
        <v/>
      </c>
      <c r="D24" s="7">
        <f>D23+B24-C24</f>
        <v/>
      </c>
      <c r="E24" s="8">
        <f>D24*Assumptions!$B$7</f>
        <v/>
      </c>
      <c r="F24" s="8">
        <f>E24*12</f>
        <v/>
      </c>
      <c r="G24" s="8">
        <f>E24*(1-Assumptions!$B$8)</f>
        <v/>
      </c>
      <c r="H24" s="8">
        <f>E24-G24</f>
        <v/>
      </c>
      <c r="I24" s="8">
        <f>Assumptions!$B$9*(1+Assumptions!$B$12)^22</f>
        <v/>
      </c>
      <c r="J24" s="8">
        <f>Assumptions!$B$10*(1+Assumptions!$B$12)^22</f>
        <v/>
      </c>
      <c r="K24" s="8">
        <f>Assumptions!$B$11*(1+Assumptions!$B$12)^22</f>
        <v/>
      </c>
      <c r="L24" s="8">
        <f>H24-I24-J24-K24</f>
        <v/>
      </c>
      <c r="M24" s="8">
        <f>M23+L24</f>
        <v/>
      </c>
    </row>
    <row r="25">
      <c r="A25" t="n">
        <v>24</v>
      </c>
      <c r="B25" s="7">
        <f>B24*(1+Assumptions!$B$5)</f>
        <v/>
      </c>
      <c r="C25" s="7">
        <f>D24*Assumptions!$B$6</f>
        <v/>
      </c>
      <c r="D25" s="7">
        <f>D24+B25-C25</f>
        <v/>
      </c>
      <c r="E25" s="8">
        <f>D25*Assumptions!$B$7</f>
        <v/>
      </c>
      <c r="F25" s="8">
        <f>E25*12</f>
        <v/>
      </c>
      <c r="G25" s="8">
        <f>E25*(1-Assumptions!$B$8)</f>
        <v/>
      </c>
      <c r="H25" s="8">
        <f>E25-G25</f>
        <v/>
      </c>
      <c r="I25" s="8">
        <f>Assumptions!$B$9*(1+Assumptions!$B$12)^23</f>
        <v/>
      </c>
      <c r="J25" s="8">
        <f>Assumptions!$B$10*(1+Assumptions!$B$12)^23</f>
        <v/>
      </c>
      <c r="K25" s="8">
        <f>Assumptions!$B$11*(1+Assumptions!$B$12)^23</f>
        <v/>
      </c>
      <c r="L25" s="8">
        <f>H25-I25-J25-K25</f>
        <v/>
      </c>
      <c r="M25" s="8">
        <f>M24+L25</f>
        <v/>
      </c>
    </row>
    <row r="26">
      <c r="A26" t="n">
        <v>25</v>
      </c>
      <c r="B26" s="7">
        <f>B25*(1+Assumptions!$B$5)</f>
        <v/>
      </c>
      <c r="C26" s="7">
        <f>D25*Assumptions!$B$6</f>
        <v/>
      </c>
      <c r="D26" s="7">
        <f>D25+B26-C26</f>
        <v/>
      </c>
      <c r="E26" s="8">
        <f>D26*Assumptions!$B$7</f>
        <v/>
      </c>
      <c r="F26" s="8">
        <f>E26*12</f>
        <v/>
      </c>
      <c r="G26" s="8">
        <f>E26*(1-Assumptions!$B$8)</f>
        <v/>
      </c>
      <c r="H26" s="8">
        <f>E26-G26</f>
        <v/>
      </c>
      <c r="I26" s="8">
        <f>Assumptions!$B$9*(1+Assumptions!$B$12)^24</f>
        <v/>
      </c>
      <c r="J26" s="8">
        <f>Assumptions!$B$10*(1+Assumptions!$B$12)^24</f>
        <v/>
      </c>
      <c r="K26" s="8">
        <f>Assumptions!$B$11*(1+Assumptions!$B$12)^24</f>
        <v/>
      </c>
      <c r="L26" s="8">
        <f>H26-I26-J26-K26</f>
        <v/>
      </c>
      <c r="M26" s="8">
        <f>M25+L26</f>
        <v/>
      </c>
    </row>
    <row r="27">
      <c r="A27" t="n">
        <v>26</v>
      </c>
      <c r="B27" s="7">
        <f>B26*(1+Assumptions!$B$5)</f>
        <v/>
      </c>
      <c r="C27" s="7">
        <f>D26*Assumptions!$B$6</f>
        <v/>
      </c>
      <c r="D27" s="7">
        <f>D26+B27-C27</f>
        <v/>
      </c>
      <c r="E27" s="8">
        <f>D27*Assumptions!$B$7</f>
        <v/>
      </c>
      <c r="F27" s="8">
        <f>E27*12</f>
        <v/>
      </c>
      <c r="G27" s="8">
        <f>E27*(1-Assumptions!$B$8)</f>
        <v/>
      </c>
      <c r="H27" s="8">
        <f>E27-G27</f>
        <v/>
      </c>
      <c r="I27" s="8">
        <f>Assumptions!$B$9*(1+Assumptions!$B$12)^25</f>
        <v/>
      </c>
      <c r="J27" s="8">
        <f>Assumptions!$B$10*(1+Assumptions!$B$12)^25</f>
        <v/>
      </c>
      <c r="K27" s="8">
        <f>Assumptions!$B$11*(1+Assumptions!$B$12)^25</f>
        <v/>
      </c>
      <c r="L27" s="8">
        <f>H27-I27-J27-K27</f>
        <v/>
      </c>
      <c r="M27" s="8">
        <f>M26+L27</f>
        <v/>
      </c>
    </row>
    <row r="28">
      <c r="A28" t="n">
        <v>27</v>
      </c>
      <c r="B28" s="7">
        <f>B27*(1+Assumptions!$B$5)</f>
        <v/>
      </c>
      <c r="C28" s="7">
        <f>D27*Assumptions!$B$6</f>
        <v/>
      </c>
      <c r="D28" s="7">
        <f>D27+B28-C28</f>
        <v/>
      </c>
      <c r="E28" s="8">
        <f>D28*Assumptions!$B$7</f>
        <v/>
      </c>
      <c r="F28" s="8">
        <f>E28*12</f>
        <v/>
      </c>
      <c r="G28" s="8">
        <f>E28*(1-Assumptions!$B$8)</f>
        <v/>
      </c>
      <c r="H28" s="8">
        <f>E28-G28</f>
        <v/>
      </c>
      <c r="I28" s="8">
        <f>Assumptions!$B$9*(1+Assumptions!$B$12)^26</f>
        <v/>
      </c>
      <c r="J28" s="8">
        <f>Assumptions!$B$10*(1+Assumptions!$B$12)^26</f>
        <v/>
      </c>
      <c r="K28" s="8">
        <f>Assumptions!$B$11*(1+Assumptions!$B$12)^26</f>
        <v/>
      </c>
      <c r="L28" s="8">
        <f>H28-I28-J28-K28</f>
        <v/>
      </c>
      <c r="M28" s="8">
        <f>M27+L28</f>
        <v/>
      </c>
    </row>
    <row r="29">
      <c r="A29" t="n">
        <v>28</v>
      </c>
      <c r="B29" s="7">
        <f>B28*(1+Assumptions!$B$5)</f>
        <v/>
      </c>
      <c r="C29" s="7">
        <f>D28*Assumptions!$B$6</f>
        <v/>
      </c>
      <c r="D29" s="7">
        <f>D28+B29-C29</f>
        <v/>
      </c>
      <c r="E29" s="8">
        <f>D29*Assumptions!$B$7</f>
        <v/>
      </c>
      <c r="F29" s="8">
        <f>E29*12</f>
        <v/>
      </c>
      <c r="G29" s="8">
        <f>E29*(1-Assumptions!$B$8)</f>
        <v/>
      </c>
      <c r="H29" s="8">
        <f>E29-G29</f>
        <v/>
      </c>
      <c r="I29" s="8">
        <f>Assumptions!$B$9*(1+Assumptions!$B$12)^27</f>
        <v/>
      </c>
      <c r="J29" s="8">
        <f>Assumptions!$B$10*(1+Assumptions!$B$12)^27</f>
        <v/>
      </c>
      <c r="K29" s="8">
        <f>Assumptions!$B$11*(1+Assumptions!$B$12)^27</f>
        <v/>
      </c>
      <c r="L29" s="8">
        <f>H29-I29-J29-K29</f>
        <v/>
      </c>
      <c r="M29" s="8">
        <f>M28+L29</f>
        <v/>
      </c>
    </row>
    <row r="30">
      <c r="A30" t="n">
        <v>29</v>
      </c>
      <c r="B30" s="7">
        <f>B29*(1+Assumptions!$B$5)</f>
        <v/>
      </c>
      <c r="C30" s="7">
        <f>D29*Assumptions!$B$6</f>
        <v/>
      </c>
      <c r="D30" s="7">
        <f>D29+B30-C30</f>
        <v/>
      </c>
      <c r="E30" s="8">
        <f>D30*Assumptions!$B$7</f>
        <v/>
      </c>
      <c r="F30" s="8">
        <f>E30*12</f>
        <v/>
      </c>
      <c r="G30" s="8">
        <f>E30*(1-Assumptions!$B$8)</f>
        <v/>
      </c>
      <c r="H30" s="8">
        <f>E30-G30</f>
        <v/>
      </c>
      <c r="I30" s="8">
        <f>Assumptions!$B$9*(1+Assumptions!$B$12)^28</f>
        <v/>
      </c>
      <c r="J30" s="8">
        <f>Assumptions!$B$10*(1+Assumptions!$B$12)^28</f>
        <v/>
      </c>
      <c r="K30" s="8">
        <f>Assumptions!$B$11*(1+Assumptions!$B$12)^28</f>
        <v/>
      </c>
      <c r="L30" s="8">
        <f>H30-I30-J30-K30</f>
        <v/>
      </c>
      <c r="M30" s="8">
        <f>M29+L30</f>
        <v/>
      </c>
    </row>
    <row r="31">
      <c r="A31" t="n">
        <v>30</v>
      </c>
      <c r="B31" s="7">
        <f>B30*(1+Assumptions!$B$5)</f>
        <v/>
      </c>
      <c r="C31" s="7">
        <f>D30*Assumptions!$B$6</f>
        <v/>
      </c>
      <c r="D31" s="7">
        <f>D30+B31-C31</f>
        <v/>
      </c>
      <c r="E31" s="8">
        <f>D31*Assumptions!$B$7</f>
        <v/>
      </c>
      <c r="F31" s="8">
        <f>E31*12</f>
        <v/>
      </c>
      <c r="G31" s="8">
        <f>E31*(1-Assumptions!$B$8)</f>
        <v/>
      </c>
      <c r="H31" s="8">
        <f>E31-G31</f>
        <v/>
      </c>
      <c r="I31" s="8">
        <f>Assumptions!$B$9*(1+Assumptions!$B$12)^29</f>
        <v/>
      </c>
      <c r="J31" s="8">
        <f>Assumptions!$B$10*(1+Assumptions!$B$12)^29</f>
        <v/>
      </c>
      <c r="K31" s="8">
        <f>Assumptions!$B$11*(1+Assumptions!$B$12)^29</f>
        <v/>
      </c>
      <c r="L31" s="8">
        <f>H31-I31-J31-K31</f>
        <v/>
      </c>
      <c r="M31" s="8">
        <f>M30+L31</f>
        <v/>
      </c>
    </row>
    <row r="32">
      <c r="A32" t="n">
        <v>31</v>
      </c>
      <c r="B32" s="7">
        <f>B31*(1+Assumptions!$B$5)</f>
        <v/>
      </c>
      <c r="C32" s="7">
        <f>D31*Assumptions!$B$6</f>
        <v/>
      </c>
      <c r="D32" s="7">
        <f>D31+B32-C32</f>
        <v/>
      </c>
      <c r="E32" s="8">
        <f>D32*Assumptions!$B$7</f>
        <v/>
      </c>
      <c r="F32" s="8">
        <f>E32*12</f>
        <v/>
      </c>
      <c r="G32" s="8">
        <f>E32*(1-Assumptions!$B$8)</f>
        <v/>
      </c>
      <c r="H32" s="8">
        <f>E32-G32</f>
        <v/>
      </c>
      <c r="I32" s="8">
        <f>Assumptions!$B$9*(1+Assumptions!$B$12)^30</f>
        <v/>
      </c>
      <c r="J32" s="8">
        <f>Assumptions!$B$10*(1+Assumptions!$B$12)^30</f>
        <v/>
      </c>
      <c r="K32" s="8">
        <f>Assumptions!$B$11*(1+Assumptions!$B$12)^30</f>
        <v/>
      </c>
      <c r="L32" s="8">
        <f>H32-I32-J32-K32</f>
        <v/>
      </c>
      <c r="M32" s="8">
        <f>M31+L32</f>
        <v/>
      </c>
    </row>
    <row r="33">
      <c r="A33" t="n">
        <v>32</v>
      </c>
      <c r="B33" s="7">
        <f>B32*(1+Assumptions!$B$5)</f>
        <v/>
      </c>
      <c r="C33" s="7">
        <f>D32*Assumptions!$B$6</f>
        <v/>
      </c>
      <c r="D33" s="7">
        <f>D32+B33-C33</f>
        <v/>
      </c>
      <c r="E33" s="8">
        <f>D33*Assumptions!$B$7</f>
        <v/>
      </c>
      <c r="F33" s="8">
        <f>E33*12</f>
        <v/>
      </c>
      <c r="G33" s="8">
        <f>E33*(1-Assumptions!$B$8)</f>
        <v/>
      </c>
      <c r="H33" s="8">
        <f>E33-G33</f>
        <v/>
      </c>
      <c r="I33" s="8">
        <f>Assumptions!$B$9*(1+Assumptions!$B$12)^31</f>
        <v/>
      </c>
      <c r="J33" s="8">
        <f>Assumptions!$B$10*(1+Assumptions!$B$12)^31</f>
        <v/>
      </c>
      <c r="K33" s="8">
        <f>Assumptions!$B$11*(1+Assumptions!$B$12)^31</f>
        <v/>
      </c>
      <c r="L33" s="8">
        <f>H33-I33-J33-K33</f>
        <v/>
      </c>
      <c r="M33" s="8">
        <f>M32+L33</f>
        <v/>
      </c>
    </row>
    <row r="34">
      <c r="A34" t="n">
        <v>33</v>
      </c>
      <c r="B34" s="7">
        <f>B33*(1+Assumptions!$B$5)</f>
        <v/>
      </c>
      <c r="C34" s="7">
        <f>D33*Assumptions!$B$6</f>
        <v/>
      </c>
      <c r="D34" s="7">
        <f>D33+B34-C34</f>
        <v/>
      </c>
      <c r="E34" s="8">
        <f>D34*Assumptions!$B$7</f>
        <v/>
      </c>
      <c r="F34" s="8">
        <f>E34*12</f>
        <v/>
      </c>
      <c r="G34" s="8">
        <f>E34*(1-Assumptions!$B$8)</f>
        <v/>
      </c>
      <c r="H34" s="8">
        <f>E34-G34</f>
        <v/>
      </c>
      <c r="I34" s="8">
        <f>Assumptions!$B$9*(1+Assumptions!$B$12)^32</f>
        <v/>
      </c>
      <c r="J34" s="8">
        <f>Assumptions!$B$10*(1+Assumptions!$B$12)^32</f>
        <v/>
      </c>
      <c r="K34" s="8">
        <f>Assumptions!$B$11*(1+Assumptions!$B$12)^32</f>
        <v/>
      </c>
      <c r="L34" s="8">
        <f>H34-I34-J34-K34</f>
        <v/>
      </c>
      <c r="M34" s="8">
        <f>M33+L34</f>
        <v/>
      </c>
    </row>
    <row r="35">
      <c r="A35" t="n">
        <v>34</v>
      </c>
      <c r="B35" s="7">
        <f>B34*(1+Assumptions!$B$5)</f>
        <v/>
      </c>
      <c r="C35" s="7">
        <f>D34*Assumptions!$B$6</f>
        <v/>
      </c>
      <c r="D35" s="7">
        <f>D34+B35-C35</f>
        <v/>
      </c>
      <c r="E35" s="8">
        <f>D35*Assumptions!$B$7</f>
        <v/>
      </c>
      <c r="F35" s="8">
        <f>E35*12</f>
        <v/>
      </c>
      <c r="G35" s="8">
        <f>E35*(1-Assumptions!$B$8)</f>
        <v/>
      </c>
      <c r="H35" s="8">
        <f>E35-G35</f>
        <v/>
      </c>
      <c r="I35" s="8">
        <f>Assumptions!$B$9*(1+Assumptions!$B$12)^33</f>
        <v/>
      </c>
      <c r="J35" s="8">
        <f>Assumptions!$B$10*(1+Assumptions!$B$12)^33</f>
        <v/>
      </c>
      <c r="K35" s="8">
        <f>Assumptions!$B$11*(1+Assumptions!$B$12)^33</f>
        <v/>
      </c>
      <c r="L35" s="8">
        <f>H35-I35-J35-K35</f>
        <v/>
      </c>
      <c r="M35" s="8">
        <f>M34+L35</f>
        <v/>
      </c>
    </row>
    <row r="36">
      <c r="A36" t="n">
        <v>35</v>
      </c>
      <c r="B36" s="7">
        <f>B35*(1+Assumptions!$B$5)</f>
        <v/>
      </c>
      <c r="C36" s="7">
        <f>D35*Assumptions!$B$6</f>
        <v/>
      </c>
      <c r="D36" s="7">
        <f>D35+B36-C36</f>
        <v/>
      </c>
      <c r="E36" s="8">
        <f>D36*Assumptions!$B$7</f>
        <v/>
      </c>
      <c r="F36" s="8">
        <f>E36*12</f>
        <v/>
      </c>
      <c r="G36" s="8">
        <f>E36*(1-Assumptions!$B$8)</f>
        <v/>
      </c>
      <c r="H36" s="8">
        <f>E36-G36</f>
        <v/>
      </c>
      <c r="I36" s="8">
        <f>Assumptions!$B$9*(1+Assumptions!$B$12)^34</f>
        <v/>
      </c>
      <c r="J36" s="8">
        <f>Assumptions!$B$10*(1+Assumptions!$B$12)^34</f>
        <v/>
      </c>
      <c r="K36" s="8">
        <f>Assumptions!$B$11*(1+Assumptions!$B$12)^34</f>
        <v/>
      </c>
      <c r="L36" s="8">
        <f>H36-I36-J36-K36</f>
        <v/>
      </c>
      <c r="M36" s="8">
        <f>M35+L36</f>
        <v/>
      </c>
    </row>
    <row r="37">
      <c r="A37" t="n">
        <v>36</v>
      </c>
      <c r="B37" s="7">
        <f>B36*(1+Assumptions!$B$5)</f>
        <v/>
      </c>
      <c r="C37" s="7">
        <f>D36*Assumptions!$B$6</f>
        <v/>
      </c>
      <c r="D37" s="7">
        <f>D36+B37-C37</f>
        <v/>
      </c>
      <c r="E37" s="8">
        <f>D37*Assumptions!$B$7</f>
        <v/>
      </c>
      <c r="F37" s="8">
        <f>E37*12</f>
        <v/>
      </c>
      <c r="G37" s="8">
        <f>E37*(1-Assumptions!$B$8)</f>
        <v/>
      </c>
      <c r="H37" s="8">
        <f>E37-G37</f>
        <v/>
      </c>
      <c r="I37" s="8">
        <f>Assumptions!$B$9*(1+Assumptions!$B$12)^35</f>
        <v/>
      </c>
      <c r="J37" s="8">
        <f>Assumptions!$B$10*(1+Assumptions!$B$12)^35</f>
        <v/>
      </c>
      <c r="K37" s="8">
        <f>Assumptions!$B$11*(1+Assumptions!$B$12)^35</f>
        <v/>
      </c>
      <c r="L37" s="8">
        <f>H37-I37-J37-K37</f>
        <v/>
      </c>
      <c r="M37" s="8">
        <f>M36+L37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NEXA — Summary</t>
        </is>
      </c>
    </row>
    <row r="3">
      <c r="A3" s="9" t="inlineStr">
        <is>
          <t>Metric</t>
        </is>
      </c>
      <c r="B3" s="9" t="inlineStr">
        <is>
          <t>End of Year 1</t>
        </is>
      </c>
      <c r="C3" s="9" t="inlineStr">
        <is>
          <t>End of Year 2</t>
        </is>
      </c>
      <c r="D3" s="9" t="inlineStr">
        <is>
          <t>End of Year 3</t>
        </is>
      </c>
    </row>
    <row r="4">
      <c r="A4" s="2" t="inlineStr">
        <is>
          <t>Active customers</t>
        </is>
      </c>
      <c r="B4" s="10">
        <f>Model!D14</f>
        <v/>
      </c>
      <c r="C4" s="10">
        <f>Model!D26</f>
        <v/>
      </c>
      <c r="D4" s="10">
        <f>Model!D37</f>
        <v/>
      </c>
    </row>
    <row r="5">
      <c r="A5" s="2" t="inlineStr">
        <is>
          <t>MRR</t>
        </is>
      </c>
      <c r="B5" s="8">
        <f>Model!E14</f>
        <v/>
      </c>
      <c r="C5" s="8">
        <f>Model!E26</f>
        <v/>
      </c>
      <c r="D5" s="8">
        <f>Model!E37</f>
        <v/>
      </c>
    </row>
    <row r="6">
      <c r="A6" s="2" t="inlineStr">
        <is>
          <t>ARR</t>
        </is>
      </c>
      <c r="B6" s="8">
        <f>Model!F14</f>
        <v/>
      </c>
      <c r="C6" s="8">
        <f>Model!F26</f>
        <v/>
      </c>
      <c r="D6" s="8">
        <f>Model!F37</f>
        <v/>
      </c>
    </row>
    <row r="7">
      <c r="A7" s="2" t="inlineStr">
        <is>
          <t>EBITDA (month)</t>
        </is>
      </c>
      <c r="B7" s="8">
        <f>Model!L14</f>
        <v/>
      </c>
      <c r="C7" s="8">
        <f>Model!L26</f>
        <v/>
      </c>
      <c r="D7" s="8">
        <f>Model!L37</f>
        <v/>
      </c>
    </row>
    <row r="8">
      <c r="A8" s="2" t="inlineStr">
        <is>
          <t>Cumulative cash</t>
        </is>
      </c>
      <c r="B8" s="8">
        <f>Model!M14</f>
        <v/>
      </c>
      <c r="C8" s="8">
        <f>Model!M26</f>
        <v/>
      </c>
      <c r="D8" s="8">
        <f>Model!M37</f>
        <v/>
      </c>
    </row>
    <row r="11">
      <c r="A11" s="11" t="inlineStr">
        <is>
          <t>Indicative valuation (ARR × multiple)</t>
        </is>
      </c>
    </row>
    <row r="12">
      <c r="A12" s="2" t="inlineStr">
        <is>
          <t>Conservative (5× ARR Y3)</t>
        </is>
      </c>
      <c r="B12" s="5">
        <f>D6*5</f>
        <v/>
      </c>
    </row>
    <row r="13">
      <c r="A13" s="2" t="inlineStr">
        <is>
          <t>Base (8× ARR Y3)</t>
        </is>
      </c>
      <c r="B13" s="5">
        <f>D6*8</f>
        <v/>
      </c>
    </row>
    <row r="14">
      <c r="A14" s="2" t="inlineStr">
        <is>
          <t>Optimistic (12× ARR Y3, AI premium)</t>
        </is>
      </c>
      <c r="B14" s="5">
        <f>D6*12</f>
        <v/>
      </c>
    </row>
    <row r="16">
      <c r="A16" s="12" t="inlineStr">
        <is>
          <t>Note: illustrative model. Multiples are general SaaS rules of thumb, not a valuation or financial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2026-06-09T13:40:26Z</dcterms:created>
  <dcterms:modified xmlns:dcterms="http://purl.org/dc/terms/" xmlns:xsi="http://www.w3.org/2001/XMLSchema-instance" xsi:type="dcterms:W3CDTF">2026-06-09T13:40:27Z</dcterms:modified>
</cp:coreProperties>
</file>